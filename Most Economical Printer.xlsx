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UNIZUA C JULIUS\Desktop\Samkay's data set\Analysed Data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4" i="1" s="1"/>
  <c r="H17" i="1" s="1"/>
  <c r="H19" i="1" s="1"/>
  <c r="J11" i="1"/>
  <c r="J13" i="1" s="1"/>
  <c r="J14" i="1" s="1"/>
  <c r="J17" i="1" s="1"/>
  <c r="J19" i="1" s="1"/>
  <c r="I11" i="1"/>
  <c r="I13" i="1" s="1"/>
  <c r="I14" i="1" s="1"/>
  <c r="I17" i="1" s="1"/>
  <c r="I19" i="1" s="1"/>
  <c r="H11" i="1"/>
  <c r="J6" i="1"/>
  <c r="I6" i="1"/>
  <c r="H6" i="1"/>
  <c r="C19" i="1"/>
  <c r="D19" i="1"/>
  <c r="B19" i="1"/>
  <c r="C17" i="1"/>
  <c r="D17" i="1"/>
  <c r="B17" i="1"/>
  <c r="C14" i="1"/>
  <c r="D14" i="1"/>
  <c r="B14" i="1"/>
  <c r="C13" i="1"/>
  <c r="D13" i="1"/>
  <c r="B13" i="1"/>
  <c r="B6" i="1"/>
  <c r="C6" i="1"/>
  <c r="D6" i="1"/>
  <c r="C11" i="1"/>
  <c r="D11" i="1"/>
  <c r="B11" i="1"/>
</calcChain>
</file>

<file path=xl/sharedStrings.xml><?xml version="1.0" encoding="utf-8"?>
<sst xmlns="http://schemas.openxmlformats.org/spreadsheetml/2006/main" count="40" uniqueCount="18">
  <si>
    <t>Susan</t>
  </si>
  <si>
    <t>Epsilon</t>
  </si>
  <si>
    <t>HV</t>
  </si>
  <si>
    <t>Zero</t>
  </si>
  <si>
    <t>Purchase Price</t>
  </si>
  <si>
    <t>Cost of Set of Catridges</t>
  </si>
  <si>
    <t>Pages catridge can print</t>
  </si>
  <si>
    <t>Cost Per Page</t>
  </si>
  <si>
    <t>Expected Pages Per day</t>
  </si>
  <si>
    <t>Days in Week</t>
  </si>
  <si>
    <t>Weeks in Year</t>
  </si>
  <si>
    <t>Total Pages in Year</t>
  </si>
  <si>
    <t>Pages per year</t>
  </si>
  <si>
    <t>Printing Costs Per Year</t>
  </si>
  <si>
    <t>Years</t>
  </si>
  <si>
    <t>Total Printing Cost</t>
  </si>
  <si>
    <t>Total Cost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</si>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</sst>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5" borderId="0" xfId="0" applyNumberFormat="1" applyFill="1"/>
    <xf numFmtId="44" fontId="0" fillId="2" borderId="0" xfId="2" applyFont="1" applyFill="1"/>
    <xf numFmtId="3" fontId="0" fillId="3" borderId="0" xfId="0" applyNumberFormat="1" applyFill="1"/>
    <xf numFmtId="44" fontId="0" fillId="3" borderId="0" xfId="2" applyFont="1" applyFill="1"/>
    <xf numFmtId="2" fontId="0" fillId="6" borderId="0" xfId="0" applyNumberFormat="1" applyFill="1"/>
    <xf numFmtId="44" fontId="0" fillId="3" borderId="0" xfId="0" applyNumberFormat="1" applyFill="1"/>
    <xf numFmtId="44" fontId="0" fillId="6" borderId="0" xfId="0" applyNumberFormat="1" applyFill="1"/>
    <xf numFmtId="44" fontId="0" fillId="7" borderId="0" xfId="0" applyNumberFormat="1" applyFill="1"/>
    <xf numFmtId="44" fontId="0" fillId="4" borderId="0" xfId="0" applyNumberFormat="1" applyFill="1"/>
    <xf numFmtId="43" fontId="0" fillId="5" borderId="0" xfId="1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Economical Printer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Sheet1!$B$18:$D$18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Sheet1!$B$19:$D$19</c:f>
              <c:numCache>
                <c:formatCode>_("$"* #,##0.00_);_("$"* \(#,##0.00\);_("$"* "-"??_);_(@_)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4-4FFF-BA82-D54B4C60E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350144"/>
        <c:axId val="289351392"/>
      </c:barChart>
      <c:catAx>
        <c:axId val="28935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51392"/>
        <c:crosses val="autoZero"/>
        <c:auto val="1"/>
        <c:lblAlgn val="ctr"/>
        <c:lblOffset val="100"/>
        <c:noMultiLvlLbl val="0"/>
      </c:catAx>
      <c:valAx>
        <c:axId val="2893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5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Most Economical Printer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Sheet1!$H$18:$J$18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Sheet1!$H$19:$J$19</c:f>
              <c:numCache>
                <c:formatCode>_("$"* #,##0.00_);_("$"* \(#,##0.00\);_("$"* "-"??_);_(@_)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C-4D04-A341-ADBC159A1C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6142016"/>
        <c:axId val="496147840"/>
      </c:barChart>
      <c:catAx>
        <c:axId val="4961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47840"/>
        <c:crosses val="autoZero"/>
        <c:auto val="1"/>
        <c:lblAlgn val="ctr"/>
        <c:lblOffset val="100"/>
        <c:noMultiLvlLbl val="0"/>
      </c:catAx>
      <c:valAx>
        <c:axId val="49614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20</xdr:row>
      <xdr:rowOff>0</xdr:rowOff>
    </xdr:from>
    <xdr:to>
      <xdr:col>4</xdr:col>
      <xdr:colOff>600075</xdr:colOff>
      <xdr:row>34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20</xdr:row>
      <xdr:rowOff>9525</xdr:rowOff>
    </xdr:from>
    <xdr:to>
      <xdr:col>9</xdr:col>
      <xdr:colOff>752475</xdr:colOff>
      <xdr:row>34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F1" sqref="F1"/>
    </sheetView>
  </sheetViews>
  <sheetFormatPr defaultRowHeight="15" x14ac:dyDescent="0.25"/>
  <cols>
    <col min="1" max="1" width="22.28515625" bestFit="1" customWidth="1"/>
    <col min="2" max="2" width="10.5703125" bestFit="1" customWidth="1"/>
    <col min="3" max="4" width="9.5703125" bestFit="1" customWidth="1"/>
    <col min="7" max="7" width="22.28515625" bestFit="1" customWidth="1"/>
    <col min="8" max="10" width="1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G1" t="s">
        <v>17</v>
      </c>
      <c r="H1" t="s">
        <v>1</v>
      </c>
      <c r="I1" t="s">
        <v>2</v>
      </c>
      <c r="J1" t="s">
        <v>3</v>
      </c>
    </row>
    <row r="2" spans="1:10" x14ac:dyDescent="0.25">
      <c r="A2" s="1" t="s">
        <v>4</v>
      </c>
      <c r="B2" s="8">
        <v>29</v>
      </c>
      <c r="C2" s="8">
        <v>149</v>
      </c>
      <c r="D2" s="8">
        <v>549</v>
      </c>
      <c r="G2" s="1" t="s">
        <v>4</v>
      </c>
      <c r="H2" s="8">
        <v>29</v>
      </c>
      <c r="I2" s="8">
        <v>149</v>
      </c>
      <c r="J2" s="8">
        <v>549</v>
      </c>
    </row>
    <row r="4" spans="1:10" x14ac:dyDescent="0.25">
      <c r="A4" s="2" t="s">
        <v>5</v>
      </c>
      <c r="B4" s="10">
        <v>40</v>
      </c>
      <c r="C4" s="10">
        <v>90</v>
      </c>
      <c r="D4" s="10">
        <v>370</v>
      </c>
      <c r="G4" s="2" t="s">
        <v>5</v>
      </c>
      <c r="H4" s="10">
        <v>40</v>
      </c>
      <c r="I4" s="10">
        <v>90</v>
      </c>
      <c r="J4" s="10">
        <v>370</v>
      </c>
    </row>
    <row r="5" spans="1:10" x14ac:dyDescent="0.25">
      <c r="A5" s="2" t="s">
        <v>6</v>
      </c>
      <c r="B5" s="2">
        <v>200</v>
      </c>
      <c r="C5" s="9">
        <v>1000</v>
      </c>
      <c r="D5" s="9">
        <v>11000</v>
      </c>
      <c r="G5" s="2" t="s">
        <v>6</v>
      </c>
      <c r="H5" s="2">
        <v>200</v>
      </c>
      <c r="I5" s="9">
        <v>1000</v>
      </c>
      <c r="J5" s="9">
        <v>11000</v>
      </c>
    </row>
    <row r="6" spans="1:10" x14ac:dyDescent="0.25">
      <c r="A6" s="2" t="s">
        <v>7</v>
      </c>
      <c r="B6" s="12">
        <f>B4/B5</f>
        <v>0.2</v>
      </c>
      <c r="C6" s="12">
        <f t="shared" ref="C6:D6" si="0">C4/C5</f>
        <v>0.09</v>
      </c>
      <c r="D6" s="12">
        <f t="shared" si="0"/>
        <v>3.3636363636363638E-2</v>
      </c>
      <c r="G6" s="2" t="s">
        <v>7</v>
      </c>
      <c r="H6" s="12">
        <f>H4/H5</f>
        <v>0.2</v>
      </c>
      <c r="I6" s="12">
        <f t="shared" ref="I6" si="1">I4/I5</f>
        <v>0.09</v>
      </c>
      <c r="J6" s="12">
        <f t="shared" ref="J6" si="2">J4/J5</f>
        <v>3.3636363636363638E-2</v>
      </c>
    </row>
    <row r="8" spans="1:10" x14ac:dyDescent="0.25">
      <c r="A8" s="4" t="s">
        <v>8</v>
      </c>
      <c r="B8" s="7">
        <v>15</v>
      </c>
      <c r="C8" s="7">
        <v>15</v>
      </c>
      <c r="D8" s="7">
        <v>15</v>
      </c>
      <c r="G8" s="4" t="s">
        <v>8</v>
      </c>
      <c r="H8" s="7">
        <v>500</v>
      </c>
      <c r="I8" s="7">
        <v>500</v>
      </c>
      <c r="J8" s="7">
        <v>500</v>
      </c>
    </row>
    <row r="9" spans="1:10" x14ac:dyDescent="0.25">
      <c r="A9" s="4" t="s">
        <v>9</v>
      </c>
      <c r="B9" s="7">
        <v>5</v>
      </c>
      <c r="C9" s="7">
        <v>5</v>
      </c>
      <c r="D9" s="7">
        <v>5</v>
      </c>
      <c r="G9" s="4" t="s">
        <v>9</v>
      </c>
      <c r="H9" s="7">
        <v>5</v>
      </c>
      <c r="I9" s="7">
        <v>5</v>
      </c>
      <c r="J9" s="7">
        <v>5</v>
      </c>
    </row>
    <row r="10" spans="1:10" x14ac:dyDescent="0.25">
      <c r="A10" s="4" t="s">
        <v>10</v>
      </c>
      <c r="B10" s="7">
        <v>50</v>
      </c>
      <c r="C10" s="7">
        <v>50</v>
      </c>
      <c r="D10" s="7">
        <v>50</v>
      </c>
      <c r="G10" s="4" t="s">
        <v>10</v>
      </c>
      <c r="H10" s="7">
        <v>50</v>
      </c>
      <c r="I10" s="7">
        <v>50</v>
      </c>
      <c r="J10" s="7">
        <v>50</v>
      </c>
    </row>
    <row r="11" spans="1:10" x14ac:dyDescent="0.25">
      <c r="A11" s="4" t="s">
        <v>11</v>
      </c>
      <c r="B11" s="16">
        <f>B8*B9*B10</f>
        <v>3750</v>
      </c>
      <c r="C11" s="16">
        <f t="shared" ref="C11:D11" si="3">C8*C9*C10</f>
        <v>3750</v>
      </c>
      <c r="D11" s="16">
        <f t="shared" si="3"/>
        <v>3750</v>
      </c>
      <c r="G11" s="4" t="s">
        <v>11</v>
      </c>
      <c r="H11" s="16">
        <f>H8*H9*H10</f>
        <v>125000</v>
      </c>
      <c r="I11" s="16">
        <f t="shared" ref="I11" si="4">I8*I9*I10</f>
        <v>125000</v>
      </c>
      <c r="J11" s="16">
        <f t="shared" ref="J11" si="5">J8*J9*J10</f>
        <v>125000</v>
      </c>
    </row>
    <row r="13" spans="1:10" x14ac:dyDescent="0.25">
      <c r="A13" s="5" t="s">
        <v>12</v>
      </c>
      <c r="B13" s="11">
        <f>B11</f>
        <v>3750</v>
      </c>
      <c r="C13" s="11">
        <f t="shared" ref="C13:D13" si="6">C11</f>
        <v>3750</v>
      </c>
      <c r="D13" s="11">
        <f t="shared" si="6"/>
        <v>3750</v>
      </c>
      <c r="G13" s="5" t="s">
        <v>12</v>
      </c>
      <c r="H13" s="11">
        <f>H11</f>
        <v>125000</v>
      </c>
      <c r="I13" s="11">
        <f t="shared" ref="I13:J13" si="7">I11</f>
        <v>125000</v>
      </c>
      <c r="J13" s="11">
        <f t="shared" si="7"/>
        <v>125000</v>
      </c>
    </row>
    <row r="14" spans="1:10" x14ac:dyDescent="0.25">
      <c r="A14" s="5" t="s">
        <v>13</v>
      </c>
      <c r="B14" s="13">
        <f>B13*B6</f>
        <v>750</v>
      </c>
      <c r="C14" s="13">
        <f t="shared" ref="C14:D14" si="8">C13*C6</f>
        <v>337.5</v>
      </c>
      <c r="D14" s="13">
        <f t="shared" si="8"/>
        <v>126.13636363636364</v>
      </c>
      <c r="G14" s="5" t="s">
        <v>13</v>
      </c>
      <c r="H14" s="13">
        <f>H13*H6</f>
        <v>25000</v>
      </c>
      <c r="I14" s="13">
        <f t="shared" ref="I14" si="9">I13*I6</f>
        <v>11250</v>
      </c>
      <c r="J14" s="13">
        <f t="shared" ref="J14" si="10">J13*J6</f>
        <v>4204.545454545455</v>
      </c>
    </row>
    <row r="15" spans="1:10" x14ac:dyDescent="0.25">
      <c r="A15" s="5" t="s">
        <v>14</v>
      </c>
      <c r="B15" s="11">
        <v>2</v>
      </c>
      <c r="C15" s="11">
        <v>2</v>
      </c>
      <c r="D15" s="11">
        <v>2</v>
      </c>
      <c r="G15" s="5" t="s">
        <v>14</v>
      </c>
      <c r="H15" s="11">
        <v>2</v>
      </c>
      <c r="I15" s="11">
        <v>2</v>
      </c>
      <c r="J15" s="11">
        <v>2</v>
      </c>
    </row>
    <row r="17" spans="1:10" x14ac:dyDescent="0.25">
      <c r="A17" s="6" t="s">
        <v>15</v>
      </c>
      <c r="B17" s="14">
        <f>B14*B15</f>
        <v>1500</v>
      </c>
      <c r="C17" s="14">
        <f t="shared" ref="C17:D17" si="11">C14*C15</f>
        <v>675</v>
      </c>
      <c r="D17" s="14">
        <f t="shared" si="11"/>
        <v>252.27272727272728</v>
      </c>
      <c r="G17" s="6" t="s">
        <v>15</v>
      </c>
      <c r="H17" s="14">
        <f>H14*H15</f>
        <v>50000</v>
      </c>
      <c r="I17" s="14">
        <f t="shared" ref="I17:J17" si="12">I14*I15</f>
        <v>22500</v>
      </c>
      <c r="J17" s="14">
        <f t="shared" si="12"/>
        <v>8409.0909090909099</v>
      </c>
    </row>
    <row r="18" spans="1:10" x14ac:dyDescent="0.25">
      <c r="A18" s="3"/>
      <c r="B18" s="3" t="s">
        <v>1</v>
      </c>
      <c r="C18" s="3" t="s">
        <v>2</v>
      </c>
      <c r="D18" s="3" t="s">
        <v>3</v>
      </c>
      <c r="G18" s="3"/>
      <c r="H18" s="3" t="s">
        <v>1</v>
      </c>
      <c r="I18" s="3" t="s">
        <v>2</v>
      </c>
      <c r="J18" s="3" t="s">
        <v>3</v>
      </c>
    </row>
    <row r="19" spans="1:10" x14ac:dyDescent="0.25">
      <c r="A19" s="3" t="s">
        <v>16</v>
      </c>
      <c r="B19" s="15">
        <f>B2+B17</f>
        <v>1529</v>
      </c>
      <c r="C19" s="15">
        <f t="shared" ref="C19:D19" si="13">C2+C17</f>
        <v>824</v>
      </c>
      <c r="D19" s="15">
        <f t="shared" si="13"/>
        <v>801.27272727272725</v>
      </c>
      <c r="G19" s="3" t="s">
        <v>16</v>
      </c>
      <c r="H19" s="15">
        <f>H2+H17</f>
        <v>50029</v>
      </c>
      <c r="I19" s="15">
        <f t="shared" ref="I19:J19" si="14">I2+I17</f>
        <v>22649</v>
      </c>
      <c r="J19" s="15">
        <f t="shared" si="14"/>
        <v>8958.0909090909099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2026-02-16T15:36:41Z</dcterms:created>
  <dcterms:modified xsi:type="dcterms:W3CDTF">2026-02-16T21:49:22Z</dcterms:modified>
</cp:coreProperties>
</file>